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4461\Desktop\"/>
    </mc:Choice>
  </mc:AlternateContent>
  <xr:revisionPtr revIDLastSave="0" documentId="13_ncr:1_{B514463C-8EF7-452F-948F-D7F93E499484}" xr6:coauthVersionLast="47" xr6:coauthVersionMax="47" xr10:uidLastSave="{00000000-0000-0000-0000-000000000000}"/>
  <bookViews>
    <workbookView xWindow="-23115" yWindow="5070" windowWidth="17895" windowHeight="10950" activeTab="3" xr2:uid="{9B202729-6C51-4872-B0B7-ABCC50B7D91E}"/>
  </bookViews>
  <sheets>
    <sheet name="S-Eje 1" sheetId="1" r:id="rId1"/>
    <sheet name="S-Eje 2" sheetId="2" r:id="rId2"/>
    <sheet name="S-Eje 3" sheetId="3" r:id="rId3"/>
    <sheet name="S-Eje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4" l="1"/>
  <c r="H3" i="4"/>
  <c r="H2" i="4"/>
  <c r="D2" i="4"/>
  <c r="E2" i="4"/>
  <c r="C13" i="3"/>
  <c r="C12" i="3"/>
  <c r="C11" i="3"/>
  <c r="C10" i="3"/>
  <c r="C9" i="3"/>
  <c r="K16" i="2" a="1"/>
  <c r="K16" i="2" s="1"/>
  <c r="B22" i="2"/>
  <c r="C22" i="2"/>
  <c r="A22" i="2"/>
  <c r="B21" i="2"/>
  <c r="C21" i="2"/>
  <c r="A21" i="2"/>
  <c r="D3" i="2"/>
  <c r="E3" i="2"/>
  <c r="F3" i="2"/>
  <c r="G3" i="2"/>
  <c r="H3" i="2"/>
  <c r="D4" i="2"/>
  <c r="E4" i="2"/>
  <c r="F4" i="2"/>
  <c r="G4" i="2"/>
  <c r="H4" i="2"/>
  <c r="H22" i="2" s="1"/>
  <c r="D5" i="2"/>
  <c r="E5" i="2"/>
  <c r="F5" i="2"/>
  <c r="G5" i="2"/>
  <c r="H5" i="2"/>
  <c r="D6" i="2"/>
  <c r="E6" i="2"/>
  <c r="F6" i="2"/>
  <c r="G6" i="2"/>
  <c r="H6" i="2"/>
  <c r="D7" i="2"/>
  <c r="E7" i="2"/>
  <c r="F7" i="2"/>
  <c r="G7" i="2"/>
  <c r="H7" i="2"/>
  <c r="D8" i="2"/>
  <c r="E8" i="2"/>
  <c r="F8" i="2"/>
  <c r="G8" i="2"/>
  <c r="H8" i="2"/>
  <c r="D9" i="2"/>
  <c r="E9" i="2"/>
  <c r="F9" i="2"/>
  <c r="G9" i="2"/>
  <c r="H9" i="2"/>
  <c r="D10" i="2"/>
  <c r="E10" i="2"/>
  <c r="F10" i="2"/>
  <c r="G10" i="2"/>
  <c r="H10" i="2"/>
  <c r="D11" i="2"/>
  <c r="E11" i="2"/>
  <c r="F11" i="2"/>
  <c r="G11" i="2"/>
  <c r="H11" i="2"/>
  <c r="D12" i="2"/>
  <c r="E12" i="2"/>
  <c r="F12" i="2"/>
  <c r="G12" i="2"/>
  <c r="H12" i="2"/>
  <c r="D13" i="2"/>
  <c r="E13" i="2"/>
  <c r="F13" i="2"/>
  <c r="G13" i="2"/>
  <c r="H13" i="2"/>
  <c r="D14" i="2"/>
  <c r="E14" i="2"/>
  <c r="F14" i="2"/>
  <c r="G14" i="2"/>
  <c r="H14" i="2"/>
  <c r="D15" i="2"/>
  <c r="E15" i="2"/>
  <c r="F15" i="2"/>
  <c r="G15" i="2"/>
  <c r="H15" i="2"/>
  <c r="D16" i="2"/>
  <c r="E16" i="2"/>
  <c r="F16" i="2"/>
  <c r="G16" i="2"/>
  <c r="H16" i="2"/>
  <c r="D17" i="2"/>
  <c r="E17" i="2"/>
  <c r="F17" i="2"/>
  <c r="G17" i="2"/>
  <c r="H17" i="2"/>
  <c r="D18" i="2"/>
  <c r="E18" i="2"/>
  <c r="F18" i="2"/>
  <c r="G18" i="2"/>
  <c r="H18" i="2"/>
  <c r="D19" i="2"/>
  <c r="E19" i="2"/>
  <c r="F19" i="2"/>
  <c r="G19" i="2"/>
  <c r="H19" i="2"/>
  <c r="H2" i="2"/>
  <c r="G2" i="2"/>
  <c r="G22" i="2" s="1"/>
  <c r="F2" i="2"/>
  <c r="F22" i="2" s="1"/>
  <c r="E2" i="2"/>
  <c r="D2" i="2"/>
  <c r="J3" i="1"/>
  <c r="G3" i="1"/>
  <c r="G4" i="1"/>
  <c r="G5" i="1"/>
  <c r="D3" i="1"/>
  <c r="D4" i="1"/>
  <c r="D2" i="1"/>
  <c r="F21" i="2" l="1"/>
  <c r="K4" i="2" s="1"/>
  <c r="H21" i="2"/>
  <c r="K6" i="2" s="1"/>
  <c r="D21" i="2"/>
  <c r="K2" i="2" s="1"/>
  <c r="G21" i="2"/>
  <c r="K5" i="2" s="1"/>
  <c r="E22" i="2"/>
  <c r="D22" i="2"/>
  <c r="E21" i="2"/>
  <c r="K3" i="2" s="1"/>
  <c r="K7" i="2" s="1"/>
  <c r="K8" i="2" s="1"/>
  <c r="K9" i="2" l="1"/>
  <c r="K10" i="2" s="1"/>
  <c r="I3" i="2" l="1"/>
  <c r="I19" i="2"/>
  <c r="I4" i="2"/>
  <c r="I2" i="2"/>
  <c r="K12" i="2"/>
  <c r="K11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<sst xmlns="http://schemas.openxmlformats.org/spreadsheetml/2006/main" count="177" uniqueCount="162">
  <si>
    <t>A</t>
  </si>
  <si>
    <t>B</t>
  </si>
  <si>
    <t>Intercepto (a)</t>
  </si>
  <si>
    <t>b1 (x1)</t>
  </si>
  <si>
    <t>b2 (x2)</t>
  </si>
  <si>
    <t>b3 (x3)</t>
  </si>
  <si>
    <t>X1</t>
  </si>
  <si>
    <t>X2</t>
  </si>
  <si>
    <t>X3</t>
  </si>
  <si>
    <t>Y (estimado)</t>
  </si>
  <si>
    <t>t estadístico (para preguntas teóricas)</t>
  </si>
  <si>
    <t>H</t>
  </si>
  <si>
    <t>I</t>
  </si>
  <si>
    <t>t_x1</t>
  </si>
  <si>
    <t>t_x2</t>
  </si>
  <si>
    <t>t_x3</t>
  </si>
  <si>
    <t>TABLA SIMPLE DE VALORES</t>
  </si>
  <si>
    <t xml:space="preserve">R² </t>
  </si>
  <si>
    <t xml:space="preserve">VARIANZA NO EXPLICADA </t>
  </si>
  <si>
    <t>a)</t>
  </si>
  <si>
    <t>El ingreso total tiene un efecto más importante</t>
  </si>
  <si>
    <r>
      <t xml:space="preserve">El mayor impacto es </t>
    </r>
    <r>
      <rPr>
        <b/>
        <sz val="11"/>
        <color theme="1"/>
        <rFont val="Aptos Narrow"/>
        <family val="2"/>
        <scheme val="minor"/>
      </rPr>
      <t>x2 (10)</t>
    </r>
  </si>
  <si>
    <t>Ingresos</t>
  </si>
  <si>
    <t>Publicidad</t>
  </si>
  <si>
    <t>Costos</t>
  </si>
  <si>
    <t>b)</t>
  </si>
  <si>
    <r>
      <t xml:space="preserve">Coeficiente de x2 = </t>
    </r>
    <r>
      <rPr>
        <b/>
        <sz val="11"/>
        <color theme="1"/>
        <rFont val="Aptos Narrow"/>
        <family val="2"/>
        <scheme val="minor"/>
      </rPr>
      <t>+10</t>
    </r>
  </si>
  <si>
    <t>Eso significa: si sube publicidad → ventas SUBEN 10</t>
  </si>
  <si>
    <t>c)</t>
  </si>
  <si>
    <r>
      <t xml:space="preserve">t_x2 = </t>
    </r>
    <r>
      <rPr>
        <b/>
        <sz val="11"/>
        <color theme="1"/>
        <rFont val="Aptos Narrow"/>
        <family val="2"/>
        <scheme val="minor"/>
      </rPr>
      <t>2.12</t>
    </r>
  </si>
  <si>
    <t>La publicidad no es significativa</t>
  </si>
  <si>
    <t>Si aumenta publicidad en 1 millón, las ventas disminuyen en 10</t>
  </si>
  <si>
    <t>usamos el t:</t>
  </si>
  <si>
    <t xml:space="preserve"> Regla simple:</t>
  </si>
  <si>
    <t>2.12 &gt; 2</t>
  </si>
  <si>
    <t>si t &gt; 2 = sí es significativa</t>
  </si>
  <si>
    <t>d)</t>
  </si>
  <si>
    <t>R² = 0.876 (87.6% explicado)</t>
  </si>
  <si>
    <t>NO explicado = 0.124 (12.4%)</t>
  </si>
  <si>
    <t>El 12% de la varianza es explicado por las variables</t>
  </si>
  <si>
    <t>Sabemos:</t>
  </si>
  <si>
    <t>e)</t>
  </si>
  <si>
    <t>x2 es el doble de x1, entonces explica el doble</t>
  </si>
  <si>
    <t>x2 = 10</t>
  </si>
  <si>
    <t>x1 = 5 = (sí es el doble)</t>
  </si>
  <si>
    <t>g)</t>
  </si>
  <si>
    <t>R² = 0.876 = 87.6%</t>
  </si>
  <si>
    <r>
      <t xml:space="preserve">Eso es </t>
    </r>
    <r>
      <rPr>
        <b/>
        <sz val="11"/>
        <color theme="1"/>
        <rFont val="Aptos Narrow"/>
        <family val="2"/>
        <scheme val="minor"/>
      </rPr>
      <t>muy alto</t>
    </r>
  </si>
  <si>
    <t>x1, x2, x3 explican una proporción considerable de Y</t>
  </si>
  <si>
    <t>Inciso</t>
  </si>
  <si>
    <t>Respuesta</t>
  </si>
  <si>
    <t>a</t>
  </si>
  <si>
    <t>b</t>
  </si>
  <si>
    <t>c</t>
  </si>
  <si>
    <t>d</t>
  </si>
  <si>
    <t>e</t>
  </si>
  <si>
    <t>f</t>
  </si>
  <si>
    <t>g</t>
  </si>
  <si>
    <t>Estas datos fueron dados en el ejercicio</t>
  </si>
  <si>
    <t>X1 (Autos)</t>
  </si>
  <si>
    <t>X2 (Construcción)</t>
  </si>
  <si>
    <t>Y (Industria)</t>
  </si>
  <si>
    <t>X1²</t>
  </si>
  <si>
    <t>X2²</t>
  </si>
  <si>
    <t>X1·X2</t>
  </si>
  <si>
    <t>X1·Y</t>
  </si>
  <si>
    <t>X2·Y</t>
  </si>
  <si>
    <t>SUMA</t>
  </si>
  <si>
    <t>PROMEDIO</t>
  </si>
  <si>
    <t>Sx2y</t>
  </si>
  <si>
    <t>Sx1y</t>
  </si>
  <si>
    <t>Sx1x2</t>
  </si>
  <si>
    <t>Sxx2</t>
  </si>
  <si>
    <t>Sxx1</t>
  </si>
  <si>
    <t>DENOMINADOR</t>
  </si>
  <si>
    <t>b1</t>
  </si>
  <si>
    <t>b2</t>
  </si>
  <si>
    <t>ECUACIÓN FINAL</t>
  </si>
  <si>
    <t>INTERCEPTO</t>
  </si>
  <si>
    <t>PREDICCIÓN</t>
  </si>
  <si>
    <t>R²</t>
  </si>
  <si>
    <t>Estimacion lineal</t>
  </si>
  <si>
    <t>a) ECUACIÓN DE REGRESIÓN</t>
  </si>
  <si>
    <t>Y=−176.52+3.17X1​+15.64X2​</t>
  </si>
  <si>
    <t>b) SIGNIFICADO DE b1</t>
  </si>
  <si>
    <t>b1=3.17b_1 = 3.17b1​=3.17</t>
  </si>
  <si>
    <t>c) ¿ES APROPIADO EL MODELO?</t>
  </si>
  <si>
    <t>Sí es apropiado porque:</t>
  </si>
  <si>
    <r>
      <t xml:space="preserve">Conclusión: </t>
    </r>
    <r>
      <rPr>
        <b/>
        <sz val="11"/>
        <color theme="1"/>
        <rFont val="Aptos Narrow"/>
        <family val="2"/>
        <scheme val="minor"/>
      </rPr>
      <t>Sí es adecuado usar regresión múltiple</t>
    </r>
  </si>
  <si>
    <t>d) PORCENTAJE DE VARIACIÓN (R²)</t>
  </si>
  <si>
    <t>e) VARIABLE MÁS INFLUYENTE</t>
  </si>
  <si>
    <t>b2=15.64b_2 = 15.64b2​=15.64</t>
  </si>
  <si>
    <r>
      <rPr>
        <b/>
        <sz val="11"/>
        <color theme="1"/>
        <rFont val="Aptos Narrow"/>
        <family val="2"/>
        <scheme val="minor"/>
      </rPr>
      <t>X₂ (construcción)</t>
    </r>
    <r>
      <rPr>
        <sz val="11"/>
        <color theme="1"/>
        <rFont val="Aptos Narrow"/>
        <family val="2"/>
        <scheme val="minor"/>
      </rPr>
      <t xml:space="preserve"> es más influyente.</t>
    </r>
  </si>
  <si>
    <t>f) PREDICCIÓN (95% de confianza)</t>
  </si>
  <si>
    <t>X1=35X_1 = 35X1​=35</t>
  </si>
  <si>
    <t>X2=60X_2 = 60X2​=60</t>
  </si>
  <si>
    <t>Y=−176.52+3.17(35)+15.64(60)</t>
  </si>
  <si>
    <t>Y=−176.52+111.12+938.68</t>
  </si>
  <si>
    <t>Y=873.28</t>
  </si>
  <si>
    <t>Sustituyendo:</t>
  </si>
  <si>
    <t>n</t>
  </si>
  <si>
    <t>k</t>
  </si>
  <si>
    <t>Concepto</t>
  </si>
  <si>
    <t>Fórmula Excel</t>
  </si>
  <si>
    <t>Resultado</t>
  </si>
  <si>
    <t>RAIZ(B2)</t>
  </si>
  <si>
    <t>1-(1-B2)*(B3-1)/(B3-B4-1)</t>
  </si>
  <si>
    <t>(B2/B4)/((1-B2)/(B3-B4-1))</t>
  </si>
  <si>
    <t>B2*100</t>
  </si>
  <si>
    <t>(1-B2)*100</t>
  </si>
  <si>
    <t>CÁLCULOS</t>
  </si>
  <si>
    <t>R</t>
  </si>
  <si>
    <t>R² Ajustado</t>
  </si>
  <si>
    <t>Estadístico F</t>
  </si>
  <si>
    <t>Variación explicada (%)</t>
  </si>
  <si>
    <t>Variación no explicada (%)</t>
  </si>
  <si>
    <t>DATOS DEL MODELO</t>
  </si>
  <si>
    <t>FALSA</t>
  </si>
  <si>
    <t>No se comparan importancias por el tamaño de los coeficientes.</t>
  </si>
  <si>
    <t>VERDADERA</t>
  </si>
  <si>
    <t>(b_1) mide el cambio esperado en y ante un aumento unitario en (x_1), manteniendo (x_2) constante.</t>
  </si>
  <si>
    <t>(R^2=0.982) ⇒ 98.2% de la variación de y es explicada por el modelo.</t>
  </si>
  <si>
    <t>(1-R^2=0.018) ⇒ 1.8% ≈ 2% no explicado.</t>
  </si>
  <si>
    <t>Valores</t>
  </si>
  <si>
    <t>INCISO</t>
  </si>
  <si>
    <t>RESPUESTA</t>
  </si>
  <si>
    <t>JUSTIFICACIÓN</t>
  </si>
  <si>
    <t>X1 Horas máquina</t>
  </si>
  <si>
    <t>X2 Distancia</t>
  </si>
  <si>
    <t>X3 Rendimiento</t>
  </si>
  <si>
    <t>Y - (Consumo petróleo)</t>
  </si>
  <si>
    <t>Variable</t>
  </si>
  <si>
    <t>Impacto</t>
  </si>
  <si>
    <t>Sx1</t>
  </si>
  <si>
    <t>Sx2</t>
  </si>
  <si>
    <t>Sx3</t>
  </si>
  <si>
    <t>Sy</t>
  </si>
  <si>
    <t>a) Interpretación del 63.84%</t>
  </si>
  <si>
    <t>Por lo tanto, el consumo promedio explicado por las variables consideradas se calcula como:</t>
  </si>
  <si>
    <r>
      <t xml:space="preserve">El valor obtenido de la ecuación de regresión es aproximadamente </t>
    </r>
    <r>
      <rPr>
        <b/>
        <sz val="11"/>
        <color theme="1"/>
        <rFont val="Aptos Narrow"/>
        <family val="2"/>
        <scheme val="minor"/>
      </rPr>
      <t>985.76 litros diarios de consumo de petróleo</t>
    </r>
    <r>
      <rPr>
        <sz val="11"/>
        <color theme="1"/>
        <rFont val="Aptos Narrow"/>
        <family val="2"/>
        <scheme val="minor"/>
      </rPr>
      <t xml:space="preserve">. Sin embargo, se indica que el modelo solo explica el </t>
    </r>
    <r>
      <rPr>
        <b/>
        <sz val="11"/>
        <color theme="1"/>
        <rFont val="Aptos Narrow"/>
        <family val="2"/>
        <scheme val="minor"/>
      </rPr>
      <t>63.84% del comportamiento del consumo</t>
    </r>
    <r>
      <rPr>
        <sz val="11"/>
        <color theme="1"/>
        <rFont val="Aptos Narrow"/>
        <family val="2"/>
        <scheme val="minor"/>
      </rPr>
      <t>.</t>
    </r>
  </si>
  <si>
    <t>985.76×0.6384≈629.20 litros</t>
  </si>
  <si>
    <t>b) Variación del consumo</t>
  </si>
  <si>
    <t>Si las horas máquina aumentan en 2 unidades y la distancia en 5 km, el cambio en el consumo se calcula considerando los coeficientes de la regresión:</t>
  </si>
  <si>
    <t>(11.3×2)+(0.24×5)=22.6+1.2=23.8</t>
  </si>
  <si>
    <t>c) Predicción del consumo</t>
  </si>
  <si>
    <t>Aplicando los valores dados en la ecuación:</t>
  </si>
  <si>
    <t>Y=−26.0134+11.3(90)+0.24(3.554)−4.71(1.29</t>
  </si>
  <si>
    <t>Y≈985.76 litros</t>
  </si>
  <si>
    <t>c.1) Error de estimación</t>
  </si>
  <si>
    <t>Dado que el 0.2% no es explicado:</t>
  </si>
  <si>
    <t>Error=2440×0.002​≈109 litros</t>
  </si>
  <si>
    <t>c.2) Nivel de seguridad</t>
  </si>
  <si>
    <t>Se construye el intervalo:</t>
  </si>
  <si>
    <t>985.76+109≈1094.76</t>
  </si>
  <si>
    <r>
      <t xml:space="preserve">Con un nivel de seguridad razonable, el consumo máximo esperado sería de aproximadamente </t>
    </r>
    <r>
      <rPr>
        <b/>
        <sz val="8"/>
        <color theme="1"/>
        <rFont val="Segoe UI"/>
        <family val="2"/>
      </rPr>
      <t>1094.76 litros</t>
    </r>
    <r>
      <rPr>
        <sz val="8"/>
        <color theme="1"/>
        <rFont val="Segoe UI"/>
        <family val="2"/>
      </rPr>
      <t xml:space="preserve">,  se consumirán </t>
    </r>
    <r>
      <rPr>
        <b/>
        <sz val="8"/>
        <color theme="1"/>
        <rFont val="Segoe UI"/>
        <family val="2"/>
      </rPr>
      <t>2150 litros</t>
    </r>
    <r>
      <rPr>
        <sz val="8"/>
        <color theme="1"/>
        <rFont val="Segoe UI"/>
        <family val="2"/>
      </rPr>
      <t>, ya que este valor está muy por encima del intervalo estimado.</t>
    </r>
  </si>
  <si>
    <t>d) Nuevo escenario</t>
  </si>
  <si>
    <t>Aplicando los nuevos datos:</t>
  </si>
  <si>
    <t>Y=−26.0134+11.3(25)+0.24(750)−4.71(1.29)Y = -26.0134 + 11.3(25) + 0.24(750) - 4.71(1.29)Y=−26.0134+11.3(25)+0.24(750)−4.71(1.29) Y≈430.41 litrosY \approx 430.41 \text{ litros}Y≈430.41 litros</t>
  </si>
  <si>
    <t>e) Significancia de la variable X1</t>
  </si>
  <si>
    <t>De acuerdo con los coeficientes estandarizados (Betas), la variable X1 es la que tiene mayor impacto en el modelo.</t>
  </si>
  <si>
    <r>
      <t xml:space="preserve">✅ </t>
    </r>
    <r>
      <rPr>
        <b/>
        <sz val="8"/>
        <color theme="1"/>
        <rFont val="Segoe UI"/>
        <family val="2"/>
      </rPr>
      <t>Respuesta redactada:</t>
    </r>
  </si>
  <si>
    <t>Sí, es posible afirmar que la variable número de horas máquina trabajadas (X1) influye significativamente en el consumo de petróleo. Esto se debe a que presenta el mayor impacto dentro del modelo, por lo tanto, su contribución individual al consumo es considerable y consistente con el alto porcentaje de explicación conjunta del 95%.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</si>
</sst>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"/>
    <numFmt numFmtId="174" formatCode="0.000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  <font>
      <sz val="8"/>
      <color theme="1"/>
      <name val="Segoe UI"/>
      <family val="2"/>
    </font>
    <font>
      <b/>
      <sz val="24"/>
      <color theme="1"/>
      <name val="Segoe UI"/>
      <family val="2"/>
    </font>
    <font>
      <b/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vertical="center" wrapText="1"/>
    </xf>
    <xf numFmtId="2" fontId="0" fillId="0" borderId="1" xfId="0" applyNumberFormat="1" applyBorder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1" xfId="0" applyNumberFormat="1" applyBorder="1" applyAlignment="1">
      <alignment vertical="center" wrapText="1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/>
    </xf>
    <xf numFmtId="0" fontId="0" fillId="0" borderId="0" xfId="0" applyFont="1"/>
    <xf numFmtId="0" fontId="0" fillId="0" borderId="0" xfId="0" applyFont="1" applyAlignment="1">
      <alignment horizontal="left" vertical="center" inden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/>
    <xf numFmtId="2" fontId="2" fillId="0" borderId="1" xfId="0" applyNumberFormat="1" applyFont="1" applyBorder="1"/>
    <xf numFmtId="0" fontId="2" fillId="0" borderId="0" xfId="0" applyFont="1" applyFill="1" applyBorder="1" applyAlignment="1">
      <alignment vertical="center" wrapText="1"/>
    </xf>
    <xf numFmtId="0" fontId="0" fillId="0" borderId="0" xfId="0" applyBorder="1"/>
    <xf numFmtId="0" fontId="2" fillId="0" borderId="5" xfId="0" applyFont="1" applyFill="1" applyBorder="1" applyAlignment="1">
      <alignment vertical="center" wrapText="1"/>
    </xf>
    <xf numFmtId="0" fontId="0" fillId="0" borderId="2" xfId="0" applyBorder="1"/>
    <xf numFmtId="169" fontId="0" fillId="0" borderId="3" xfId="0" applyNumberFormat="1" applyBorder="1"/>
    <xf numFmtId="0" fontId="0" fillId="0" borderId="3" xfId="0" applyBorder="1"/>
    <xf numFmtId="2" fontId="0" fillId="0" borderId="3" xfId="0" applyNumberFormat="1" applyBorder="1"/>
    <xf numFmtId="0" fontId="0" fillId="0" borderId="1" xfId="0" applyBorder="1" applyAlignment="1">
      <alignment horizontal="center" vertical="center"/>
    </xf>
    <xf numFmtId="0" fontId="2" fillId="0" borderId="2" xfId="0" applyFont="1" applyBorder="1"/>
    <xf numFmtId="2" fontId="2" fillId="0" borderId="2" xfId="0" applyNumberFormat="1" applyFont="1" applyBorder="1"/>
    <xf numFmtId="174" fontId="0" fillId="0" borderId="1" xfId="0" applyNumberFormat="1" applyBorder="1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79887-9B12-44C3-8D4C-DBAF607DB94F}">
  <dimension ref="A1:J31"/>
  <sheetViews>
    <sheetView workbookViewId="0">
      <selection activeCell="C32" sqref="C32"/>
    </sheetView>
  </sheetViews>
  <sheetFormatPr baseColWidth="10" defaultRowHeight="14.4"/>
  <cols>
    <col min="1" max="1" width="15.5546875" customWidth="1"/>
    <col min="6" max="6" width="34.109375" bestFit="1" customWidth="1"/>
    <col min="7" max="7" width="13.21875" bestFit="1" customWidth="1"/>
    <col min="9" max="9" width="22.88671875" bestFit="1" customWidth="1"/>
    <col min="10" max="10" width="12.44140625" customWidth="1"/>
  </cols>
  <sheetData>
    <row r="1" spans="1:10">
      <c r="A1" s="4" t="s">
        <v>6</v>
      </c>
      <c r="B1" s="4" t="s">
        <v>7</v>
      </c>
      <c r="C1" s="4" t="s">
        <v>8</v>
      </c>
      <c r="D1" s="4" t="s">
        <v>9</v>
      </c>
      <c r="F1" s="15" t="s">
        <v>10</v>
      </c>
      <c r="G1" s="15"/>
      <c r="I1" t="s">
        <v>58</v>
      </c>
    </row>
    <row r="2" spans="1:10">
      <c r="A2" s="5">
        <v>5</v>
      </c>
      <c r="B2" s="5">
        <v>10</v>
      </c>
      <c r="C2" s="5">
        <v>3</v>
      </c>
      <c r="D2" s="8">
        <f>186 + 5*A2 + 10*B2 - 8*C2</f>
        <v>287</v>
      </c>
      <c r="F2" s="4" t="s">
        <v>11</v>
      </c>
      <c r="G2" s="4" t="s">
        <v>12</v>
      </c>
      <c r="I2" s="20" t="s">
        <v>17</v>
      </c>
      <c r="J2" s="7">
        <v>0.876</v>
      </c>
    </row>
    <row r="3" spans="1:10">
      <c r="A3" s="5">
        <v>6</v>
      </c>
      <c r="B3" s="5">
        <v>8</v>
      </c>
      <c r="C3" s="5">
        <v>2</v>
      </c>
      <c r="D3" s="8">
        <f t="shared" ref="D3:D4" si="0">186 + 5*A3 + 10*B3 - 8*C3</f>
        <v>280</v>
      </c>
      <c r="F3" s="9" t="s">
        <v>13</v>
      </c>
      <c r="G3" s="13">
        <f>B15/0.3</f>
        <v>16.666666666666668</v>
      </c>
      <c r="I3" s="20" t="s">
        <v>18</v>
      </c>
      <c r="J3" s="7">
        <f>1 - J2</f>
        <v>0.124</v>
      </c>
    </row>
    <row r="4" spans="1:10">
      <c r="A4" s="5">
        <v>7</v>
      </c>
      <c r="B4" s="5">
        <v>9</v>
      </c>
      <c r="C4" s="5">
        <v>4</v>
      </c>
      <c r="D4" s="8">
        <f t="shared" si="0"/>
        <v>279</v>
      </c>
      <c r="F4" s="9" t="s">
        <v>14</v>
      </c>
      <c r="G4" s="13">
        <f>B16/4.7</f>
        <v>2.1276595744680851</v>
      </c>
    </row>
    <row r="5" spans="1:10">
      <c r="F5" s="9" t="s">
        <v>15</v>
      </c>
      <c r="G5" s="13">
        <f>B17/0.2</f>
        <v>-40</v>
      </c>
    </row>
    <row r="8" spans="1:10">
      <c r="A8" s="18" t="s">
        <v>19</v>
      </c>
      <c r="C8" s="2"/>
      <c r="D8" s="2"/>
      <c r="E8" s="18" t="s">
        <v>25</v>
      </c>
    </row>
    <row r="9" spans="1:10">
      <c r="A9" s="17" t="s">
        <v>20</v>
      </c>
      <c r="E9" s="17" t="s">
        <v>31</v>
      </c>
      <c r="I9" s="4" t="s">
        <v>49</v>
      </c>
      <c r="J9" s="4" t="s">
        <v>50</v>
      </c>
    </row>
    <row r="10" spans="1:10">
      <c r="A10" t="s">
        <v>21</v>
      </c>
      <c r="I10" s="9" t="s">
        <v>51</v>
      </c>
      <c r="J10" s="9" t="b">
        <v>0</v>
      </c>
    </row>
    <row r="11" spans="1:10">
      <c r="E11" t="s">
        <v>26</v>
      </c>
      <c r="I11" s="9" t="s">
        <v>52</v>
      </c>
      <c r="J11" s="9" t="b">
        <v>0</v>
      </c>
    </row>
    <row r="12" spans="1:10">
      <c r="A12" s="11" t="s">
        <v>16</v>
      </c>
      <c r="B12" s="12"/>
      <c r="E12" t="s">
        <v>27</v>
      </c>
      <c r="I12" s="9" t="s">
        <v>53</v>
      </c>
      <c r="J12" s="9" t="b">
        <v>0</v>
      </c>
    </row>
    <row r="13" spans="1:10">
      <c r="A13" s="4" t="s">
        <v>0</v>
      </c>
      <c r="B13" s="4" t="s">
        <v>1</v>
      </c>
      <c r="I13" s="9" t="s">
        <v>54</v>
      </c>
      <c r="J13" s="9" t="b">
        <v>1</v>
      </c>
    </row>
    <row r="14" spans="1:10">
      <c r="A14" s="9" t="s">
        <v>2</v>
      </c>
      <c r="B14" s="4">
        <v>186</v>
      </c>
      <c r="E14" s="18" t="s">
        <v>36</v>
      </c>
      <c r="I14" s="9" t="s">
        <v>55</v>
      </c>
      <c r="J14" s="9" t="b">
        <v>0</v>
      </c>
    </row>
    <row r="15" spans="1:10">
      <c r="A15" s="9" t="s">
        <v>3</v>
      </c>
      <c r="B15" s="4">
        <v>5</v>
      </c>
      <c r="C15" s="7" t="s">
        <v>22</v>
      </c>
      <c r="E15" s="17" t="s">
        <v>39</v>
      </c>
      <c r="I15" s="9" t="s">
        <v>56</v>
      </c>
      <c r="J15" s="9" t="b">
        <v>0</v>
      </c>
    </row>
    <row r="16" spans="1:10">
      <c r="A16" s="9" t="s">
        <v>4</v>
      </c>
      <c r="B16" s="4">
        <v>10</v>
      </c>
      <c r="C16" s="7" t="s">
        <v>23</v>
      </c>
      <c r="I16" s="9" t="s">
        <v>57</v>
      </c>
      <c r="J16" s="9" t="b">
        <v>0</v>
      </c>
    </row>
    <row r="17" spans="1:6">
      <c r="A17" s="9" t="s">
        <v>5</v>
      </c>
      <c r="B17" s="4">
        <v>-8</v>
      </c>
      <c r="C17" s="7" t="s">
        <v>24</v>
      </c>
      <c r="E17" s="21" t="s">
        <v>40</v>
      </c>
      <c r="F17" s="22" t="s">
        <v>37</v>
      </c>
    </row>
    <row r="18" spans="1:6">
      <c r="F18" s="22" t="s">
        <v>38</v>
      </c>
    </row>
    <row r="19" spans="1:6">
      <c r="A19" s="18" t="s">
        <v>28</v>
      </c>
      <c r="E19" s="22"/>
      <c r="F19" s="21"/>
    </row>
    <row r="20" spans="1:6">
      <c r="A20" s="17" t="s">
        <v>30</v>
      </c>
      <c r="E20" s="18" t="s">
        <v>41</v>
      </c>
    </row>
    <row r="21" spans="1:6">
      <c r="E21" s="17" t="s">
        <v>42</v>
      </c>
    </row>
    <row r="22" spans="1:6">
      <c r="A22" s="21" t="s">
        <v>32</v>
      </c>
      <c r="B22" s="22" t="s">
        <v>29</v>
      </c>
      <c r="F22" s="21" t="s">
        <v>43</v>
      </c>
    </row>
    <row r="23" spans="1:6">
      <c r="A23" s="21" t="s">
        <v>33</v>
      </c>
      <c r="B23" t="s">
        <v>35</v>
      </c>
      <c r="E23" s="21"/>
      <c r="F23" s="21" t="s">
        <v>44</v>
      </c>
    </row>
    <row r="24" spans="1:6">
      <c r="A24" s="22"/>
      <c r="B24" s="21" t="s">
        <v>34</v>
      </c>
    </row>
    <row r="25" spans="1:6">
      <c r="E25" s="18" t="s">
        <v>45</v>
      </c>
    </row>
    <row r="26" spans="1:6">
      <c r="A26" s="21"/>
      <c r="E26" s="17" t="s">
        <v>48</v>
      </c>
    </row>
    <row r="27" spans="1:6">
      <c r="A27" s="21"/>
      <c r="F27" s="21" t="s">
        <v>46</v>
      </c>
    </row>
    <row r="28" spans="1:6">
      <c r="A28" s="22"/>
      <c r="E28" s="21"/>
      <c r="F28" s="21" t="s">
        <v>47</v>
      </c>
    </row>
    <row r="29" spans="1:6">
      <c r="A29" s="22"/>
    </row>
    <row r="30" spans="1:6">
      <c r="A30" s="21"/>
      <c r="E30" s="21"/>
    </row>
    <row r="31" spans="1:6">
      <c r="A31" s="21"/>
    </row>
  </sheetData>
  <mergeCells count="2">
    <mergeCell ref="A12:B12"/>
    <mergeCell ref="F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D3A88-4189-4EF7-81D3-5B9BA2B5B240}">
  <dimension ref="A1:M36"/>
  <sheetViews>
    <sheetView workbookViewId="0">
      <selection activeCell="K31" sqref="K31"/>
    </sheetView>
  </sheetViews>
  <sheetFormatPr baseColWidth="10" defaultRowHeight="14.4"/>
  <cols>
    <col min="1" max="1" width="13.77734375" customWidth="1"/>
    <col min="2" max="2" width="20" customWidth="1"/>
    <col min="3" max="3" width="14.109375" customWidth="1"/>
    <col min="4" max="6" width="15.5546875" bestFit="1" customWidth="1"/>
    <col min="7" max="8" width="16.6640625" bestFit="1" customWidth="1"/>
    <col min="10" max="10" width="11.5546875" style="27"/>
    <col min="11" max="11" width="14.109375" customWidth="1"/>
    <col min="12" max="12" width="15" customWidth="1"/>
    <col min="13" max="13" width="14.77734375" customWidth="1"/>
  </cols>
  <sheetData>
    <row r="1" spans="1:13">
      <c r="A1" s="19" t="s">
        <v>59</v>
      </c>
      <c r="B1" s="19" t="s">
        <v>60</v>
      </c>
      <c r="C1" s="19" t="s">
        <v>61</v>
      </c>
      <c r="D1" s="19" t="s">
        <v>62</v>
      </c>
      <c r="E1" s="19" t="s">
        <v>63</v>
      </c>
      <c r="F1" s="19" t="s">
        <v>64</v>
      </c>
      <c r="G1" s="19" t="s">
        <v>65</v>
      </c>
      <c r="H1" s="19" t="s">
        <v>66</v>
      </c>
      <c r="I1" s="28" t="s">
        <v>80</v>
      </c>
      <c r="J1" s="26"/>
      <c r="K1">
        <v>18</v>
      </c>
    </row>
    <row r="2" spans="1:13">
      <c r="A2" s="7">
        <v>20</v>
      </c>
      <c r="B2" s="9">
        <v>35</v>
      </c>
      <c r="C2" s="23">
        <v>410</v>
      </c>
      <c r="D2" s="7">
        <f xml:space="preserve"> A2^2</f>
        <v>400</v>
      </c>
      <c r="E2" s="7">
        <f>B2^2</f>
        <v>1225</v>
      </c>
      <c r="F2" s="7">
        <f xml:space="preserve"> A2*B2</f>
        <v>700</v>
      </c>
      <c r="G2" s="7">
        <f xml:space="preserve"> A2*C2</f>
        <v>8200</v>
      </c>
      <c r="H2" s="29">
        <f xml:space="preserve"> B2*C2</f>
        <v>14350</v>
      </c>
      <c r="I2" s="6">
        <f xml:space="preserve"> $K$10 + $K$8*A2 + $K$9*B2</f>
        <v>434.54300078451479</v>
      </c>
      <c r="K2" s="30">
        <f xml:space="preserve"> D21 - K1*(A22^2)</f>
        <v>1075.9999999999964</v>
      </c>
      <c r="L2" s="33" t="s">
        <v>73</v>
      </c>
      <c r="M2" s="37"/>
    </row>
    <row r="3" spans="1:13">
      <c r="A3" s="7">
        <v>25</v>
      </c>
      <c r="B3" s="9">
        <v>40</v>
      </c>
      <c r="C3" s="23">
        <v>520</v>
      </c>
      <c r="D3" s="7">
        <f t="shared" ref="D3:D19" si="0" xml:space="preserve"> A3^2</f>
        <v>625</v>
      </c>
      <c r="E3" s="7">
        <f t="shared" ref="E3:E19" si="1">B3^2</f>
        <v>1600</v>
      </c>
      <c r="F3" s="7">
        <f t="shared" ref="F3:F19" si="2" xml:space="preserve"> A3*B3</f>
        <v>1000</v>
      </c>
      <c r="G3" s="7">
        <f t="shared" ref="G3:G19" si="3" xml:space="preserve"> A3*C3</f>
        <v>13000</v>
      </c>
      <c r="H3" s="29">
        <f t="shared" ref="H3:H19" si="4" xml:space="preserve"> B3*C3</f>
        <v>20800</v>
      </c>
      <c r="I3" s="6">
        <f t="shared" ref="I3:I19" si="5" xml:space="preserve"> $K$10 + $K$8*A3 + $K$9*B3</f>
        <v>528.64106648706047</v>
      </c>
      <c r="K3" s="30">
        <f xml:space="preserve"> E21 - K1*(B22^2)</f>
        <v>1210.5</v>
      </c>
      <c r="L3" s="33" t="s">
        <v>72</v>
      </c>
      <c r="M3" s="37"/>
    </row>
    <row r="4" spans="1:13">
      <c r="A4" s="7">
        <v>30</v>
      </c>
      <c r="B4" s="9">
        <v>45</v>
      </c>
      <c r="C4" s="23">
        <v>610</v>
      </c>
      <c r="D4" s="7">
        <f t="shared" si="0"/>
        <v>900</v>
      </c>
      <c r="E4" s="7">
        <f t="shared" si="1"/>
        <v>2025</v>
      </c>
      <c r="F4" s="7">
        <f t="shared" si="2"/>
        <v>1350</v>
      </c>
      <c r="G4" s="7">
        <f t="shared" si="3"/>
        <v>18300</v>
      </c>
      <c r="H4" s="29">
        <f t="shared" si="4"/>
        <v>27450</v>
      </c>
      <c r="I4" s="6">
        <f t="shared" si="5"/>
        <v>622.73913218960615</v>
      </c>
      <c r="K4" s="30">
        <f xml:space="preserve"> F21 - K1*(A22*B22)</f>
        <v>1101.9999999999927</v>
      </c>
      <c r="L4" s="33" t="s">
        <v>71</v>
      </c>
      <c r="M4" s="37"/>
    </row>
    <row r="5" spans="1:13">
      <c r="A5" s="7">
        <v>35</v>
      </c>
      <c r="B5" s="9">
        <v>50</v>
      </c>
      <c r="C5" s="23">
        <v>720</v>
      </c>
      <c r="D5" s="7">
        <f t="shared" si="0"/>
        <v>1225</v>
      </c>
      <c r="E5" s="7">
        <f t="shared" si="1"/>
        <v>2500</v>
      </c>
      <c r="F5" s="7">
        <f t="shared" si="2"/>
        <v>1750</v>
      </c>
      <c r="G5" s="7">
        <f t="shared" si="3"/>
        <v>25200</v>
      </c>
      <c r="H5" s="29">
        <f t="shared" si="4"/>
        <v>36000</v>
      </c>
      <c r="I5" s="6">
        <f t="shared" si="5"/>
        <v>716.83719789215183</v>
      </c>
      <c r="K5" s="30">
        <f xml:space="preserve"> G21 - K1*(A22*C22)</f>
        <v>20656.666666666686</v>
      </c>
      <c r="L5" s="33" t="s">
        <v>70</v>
      </c>
      <c r="M5" s="37"/>
    </row>
    <row r="6" spans="1:13">
      <c r="A6" s="7">
        <v>40</v>
      </c>
      <c r="B6" s="9">
        <v>55</v>
      </c>
      <c r="C6" s="23">
        <v>800</v>
      </c>
      <c r="D6" s="7">
        <f t="shared" si="0"/>
        <v>1600</v>
      </c>
      <c r="E6" s="7">
        <f t="shared" si="1"/>
        <v>3025</v>
      </c>
      <c r="F6" s="7">
        <f t="shared" si="2"/>
        <v>2200</v>
      </c>
      <c r="G6" s="7">
        <f t="shared" si="3"/>
        <v>32000</v>
      </c>
      <c r="H6" s="29">
        <f t="shared" si="4"/>
        <v>44000</v>
      </c>
      <c r="I6" s="6">
        <f t="shared" si="5"/>
        <v>810.93526359469752</v>
      </c>
      <c r="K6" s="30">
        <f xml:space="preserve"> H21 - K1*(B22*C22)</f>
        <v>22436.666666666744</v>
      </c>
      <c r="L6" s="33" t="s">
        <v>69</v>
      </c>
      <c r="M6" s="37"/>
    </row>
    <row r="7" spans="1:13">
      <c r="A7" s="7">
        <v>45</v>
      </c>
      <c r="B7" s="7">
        <v>60</v>
      </c>
      <c r="C7" s="7">
        <v>920</v>
      </c>
      <c r="D7" s="7">
        <f t="shared" si="0"/>
        <v>2025</v>
      </c>
      <c r="E7" s="7">
        <f t="shared" si="1"/>
        <v>3600</v>
      </c>
      <c r="F7" s="7">
        <f t="shared" si="2"/>
        <v>2700</v>
      </c>
      <c r="G7" s="7">
        <f t="shared" si="3"/>
        <v>41400</v>
      </c>
      <c r="H7" s="29">
        <f t="shared" si="4"/>
        <v>55200</v>
      </c>
      <c r="I7" s="6">
        <f t="shared" si="5"/>
        <v>905.0333292972432</v>
      </c>
      <c r="K7" s="31">
        <f xml:space="preserve"> (K2*K3) - (K4^2)</f>
        <v>88094.000000011642</v>
      </c>
      <c r="L7" s="33" t="s">
        <v>74</v>
      </c>
    </row>
    <row r="8" spans="1:13">
      <c r="A8" s="7">
        <v>50</v>
      </c>
      <c r="B8" s="7">
        <v>65</v>
      </c>
      <c r="C8" s="7">
        <v>1020</v>
      </c>
      <c r="D8" s="7">
        <f t="shared" si="0"/>
        <v>2500</v>
      </c>
      <c r="E8" s="7">
        <f t="shared" si="1"/>
        <v>4225</v>
      </c>
      <c r="F8" s="7">
        <f t="shared" si="2"/>
        <v>3250</v>
      </c>
      <c r="G8" s="7">
        <f t="shared" si="3"/>
        <v>51000</v>
      </c>
      <c r="H8" s="29">
        <f t="shared" si="4"/>
        <v>66300</v>
      </c>
      <c r="I8" s="6">
        <f t="shared" si="5"/>
        <v>999.13139499978888</v>
      </c>
      <c r="K8" s="32">
        <f xml:space="preserve"> (K5*K3 - K6*K4) / K7</f>
        <v>3.1748851605489103</v>
      </c>
      <c r="L8" s="33" t="s">
        <v>75</v>
      </c>
      <c r="M8" s="37"/>
    </row>
    <row r="9" spans="1:13">
      <c r="A9" s="7">
        <v>30</v>
      </c>
      <c r="B9" s="7">
        <v>50</v>
      </c>
      <c r="C9" s="7">
        <v>700</v>
      </c>
      <c r="D9" s="7">
        <f t="shared" si="0"/>
        <v>900</v>
      </c>
      <c r="E9" s="7">
        <f t="shared" si="1"/>
        <v>2500</v>
      </c>
      <c r="F9" s="7">
        <f t="shared" si="2"/>
        <v>1500</v>
      </c>
      <c r="G9" s="7">
        <f t="shared" si="3"/>
        <v>21000</v>
      </c>
      <c r="H9" s="29">
        <f t="shared" si="4"/>
        <v>35000</v>
      </c>
      <c r="I9" s="6">
        <f t="shared" si="5"/>
        <v>700.96277208940728</v>
      </c>
      <c r="K9" s="32">
        <f xml:space="preserve"> (K6*K2 - K5*K4) / K7</f>
        <v>15.644727979960226</v>
      </c>
      <c r="L9" s="33" t="s">
        <v>76</v>
      </c>
      <c r="M9" s="37"/>
    </row>
    <row r="10" spans="1:13">
      <c r="A10" s="7">
        <v>28</v>
      </c>
      <c r="B10" s="7">
        <v>48</v>
      </c>
      <c r="C10" s="7">
        <v>680</v>
      </c>
      <c r="D10" s="7">
        <f t="shared" si="0"/>
        <v>784</v>
      </c>
      <c r="E10" s="7">
        <f t="shared" si="1"/>
        <v>2304</v>
      </c>
      <c r="F10" s="7">
        <f t="shared" si="2"/>
        <v>1344</v>
      </c>
      <c r="G10" s="7">
        <f t="shared" si="3"/>
        <v>19040</v>
      </c>
      <c r="H10" s="29">
        <f t="shared" si="4"/>
        <v>32640</v>
      </c>
      <c r="I10" s="6">
        <f t="shared" si="5"/>
        <v>663.3235458083891</v>
      </c>
      <c r="K10" s="32">
        <f xml:space="preserve"> C22 - K8*A22 - K9*B22</f>
        <v>-176.52018172507132</v>
      </c>
      <c r="L10" s="33" t="s">
        <v>78</v>
      </c>
      <c r="M10" s="37"/>
    </row>
    <row r="11" spans="1:13">
      <c r="A11" s="7">
        <v>33</v>
      </c>
      <c r="B11" s="7">
        <v>52</v>
      </c>
      <c r="C11" s="7">
        <v>750</v>
      </c>
      <c r="D11" s="7">
        <f t="shared" si="0"/>
        <v>1089</v>
      </c>
      <c r="E11" s="7">
        <f t="shared" si="1"/>
        <v>2704</v>
      </c>
      <c r="F11" s="7">
        <f t="shared" si="2"/>
        <v>1716</v>
      </c>
      <c r="G11" s="7">
        <f t="shared" si="3"/>
        <v>24750</v>
      </c>
      <c r="H11" s="29">
        <f t="shared" si="4"/>
        <v>39000</v>
      </c>
      <c r="I11" s="6">
        <f t="shared" si="5"/>
        <v>741.77688353097449</v>
      </c>
      <c r="K11" s="32">
        <f xml:space="preserve"> K10 + K8*Y1 + K9*Y2</f>
        <v>-176.52018172507132</v>
      </c>
      <c r="L11" s="33" t="s">
        <v>77</v>
      </c>
    </row>
    <row r="12" spans="1:13">
      <c r="A12" s="7">
        <v>38</v>
      </c>
      <c r="B12" s="7">
        <v>58</v>
      </c>
      <c r="C12" s="7">
        <v>850</v>
      </c>
      <c r="D12" s="7">
        <f t="shared" si="0"/>
        <v>1444</v>
      </c>
      <c r="E12" s="7">
        <f t="shared" si="1"/>
        <v>3364</v>
      </c>
      <c r="F12" s="7">
        <f t="shared" si="2"/>
        <v>2204</v>
      </c>
      <c r="G12" s="7">
        <f t="shared" si="3"/>
        <v>32300</v>
      </c>
      <c r="H12" s="29">
        <f t="shared" si="4"/>
        <v>49300</v>
      </c>
      <c r="I12" s="6">
        <f t="shared" si="5"/>
        <v>851.51967721348046</v>
      </c>
      <c r="K12" s="32">
        <f xml:space="preserve"> K10 + K8*35 + K9*60</f>
        <v>873.28447769175409</v>
      </c>
      <c r="L12" s="33" t="s">
        <v>79</v>
      </c>
    </row>
    <row r="13" spans="1:13">
      <c r="A13" s="7">
        <v>42</v>
      </c>
      <c r="B13" s="7">
        <v>62</v>
      </c>
      <c r="C13" s="7">
        <v>910</v>
      </c>
      <c r="D13" s="7">
        <f t="shared" si="0"/>
        <v>1764</v>
      </c>
      <c r="E13" s="7">
        <f t="shared" si="1"/>
        <v>3844</v>
      </c>
      <c r="F13" s="7">
        <f t="shared" si="2"/>
        <v>2604</v>
      </c>
      <c r="G13" s="7">
        <f t="shared" si="3"/>
        <v>38220</v>
      </c>
      <c r="H13" s="29">
        <f t="shared" si="4"/>
        <v>56420</v>
      </c>
      <c r="I13" s="6">
        <f t="shared" si="5"/>
        <v>926.79812977551694</v>
      </c>
    </row>
    <row r="14" spans="1:13">
      <c r="A14" s="7">
        <v>48</v>
      </c>
      <c r="B14" s="7">
        <v>67</v>
      </c>
      <c r="C14" s="7">
        <v>990</v>
      </c>
      <c r="D14" s="7">
        <f t="shared" si="0"/>
        <v>2304</v>
      </c>
      <c r="E14" s="7">
        <f t="shared" si="1"/>
        <v>4489</v>
      </c>
      <c r="F14" s="7">
        <f t="shared" si="2"/>
        <v>3216</v>
      </c>
      <c r="G14" s="7">
        <f t="shared" si="3"/>
        <v>47520</v>
      </c>
      <c r="H14" s="29">
        <f t="shared" si="4"/>
        <v>66330</v>
      </c>
      <c r="I14" s="6">
        <f t="shared" si="5"/>
        <v>1024.0710806386116</v>
      </c>
      <c r="K14" s="14" t="s">
        <v>81</v>
      </c>
      <c r="L14" s="14"/>
      <c r="M14" s="14"/>
    </row>
    <row r="15" spans="1:13">
      <c r="A15" s="7">
        <v>36</v>
      </c>
      <c r="B15" s="7">
        <v>54</v>
      </c>
      <c r="C15" s="7">
        <v>780</v>
      </c>
      <c r="D15" s="7">
        <f t="shared" si="0"/>
        <v>1296</v>
      </c>
      <c r="E15" s="7">
        <f t="shared" si="1"/>
        <v>2916</v>
      </c>
      <c r="F15" s="7">
        <f t="shared" si="2"/>
        <v>1944</v>
      </c>
      <c r="G15" s="7">
        <f t="shared" si="3"/>
        <v>28080</v>
      </c>
      <c r="H15" s="29">
        <f t="shared" si="4"/>
        <v>42120</v>
      </c>
      <c r="I15" s="6">
        <f t="shared" si="5"/>
        <v>782.59099497254169</v>
      </c>
      <c r="K15" s="38" t="s">
        <v>76</v>
      </c>
      <c r="L15" s="38" t="s">
        <v>75</v>
      </c>
      <c r="M15" s="38" t="s">
        <v>78</v>
      </c>
    </row>
    <row r="16" spans="1:13">
      <c r="A16" s="7">
        <v>29</v>
      </c>
      <c r="B16" s="7">
        <v>46</v>
      </c>
      <c r="C16" s="7">
        <v>660</v>
      </c>
      <c r="D16" s="7">
        <f t="shared" si="0"/>
        <v>841</v>
      </c>
      <c r="E16" s="7">
        <f t="shared" si="1"/>
        <v>2116</v>
      </c>
      <c r="F16" s="7">
        <f t="shared" si="2"/>
        <v>1334</v>
      </c>
      <c r="G16" s="7">
        <f t="shared" si="3"/>
        <v>19140</v>
      </c>
      <c r="H16" s="29">
        <f t="shared" si="4"/>
        <v>30360</v>
      </c>
      <c r="I16" s="6">
        <f t="shared" si="5"/>
        <v>635.20897500901754</v>
      </c>
      <c r="K16" s="7" cm="1">
        <f t="array" ref="K16:M16">LINEST(C2:C19, A2:B19, TRUE, FALSE)</f>
        <v>15.644727979960788</v>
      </c>
      <c r="L16" s="7">
        <v>3.1748851605482047</v>
      </c>
      <c r="M16" s="7">
        <v>-176.5201817250761</v>
      </c>
    </row>
    <row r="17" spans="1:9">
      <c r="A17" s="7">
        <v>31</v>
      </c>
      <c r="B17" s="7">
        <v>49</v>
      </c>
      <c r="C17" s="7">
        <v>710</v>
      </c>
      <c r="D17" s="7">
        <f t="shared" si="0"/>
        <v>961</v>
      </c>
      <c r="E17" s="7">
        <f t="shared" si="1"/>
        <v>2401</v>
      </c>
      <c r="F17" s="7">
        <f t="shared" si="2"/>
        <v>1519</v>
      </c>
      <c r="G17" s="7">
        <f t="shared" si="3"/>
        <v>22010</v>
      </c>
      <c r="H17" s="29">
        <f t="shared" si="4"/>
        <v>34790</v>
      </c>
      <c r="I17" s="6">
        <f t="shared" si="5"/>
        <v>688.49292926999601</v>
      </c>
    </row>
    <row r="18" spans="1:9">
      <c r="A18" s="7">
        <v>37</v>
      </c>
      <c r="B18" s="7">
        <v>56</v>
      </c>
      <c r="C18" s="7">
        <v>820</v>
      </c>
      <c r="D18" s="7">
        <f t="shared" si="0"/>
        <v>1369</v>
      </c>
      <c r="E18" s="7">
        <f t="shared" si="1"/>
        <v>3136</v>
      </c>
      <c r="F18" s="7">
        <f t="shared" si="2"/>
        <v>2072</v>
      </c>
      <c r="G18" s="7">
        <f t="shared" si="3"/>
        <v>30340</v>
      </c>
      <c r="H18" s="29">
        <f t="shared" si="4"/>
        <v>45920</v>
      </c>
      <c r="I18" s="6">
        <f t="shared" si="5"/>
        <v>817.05533609301108</v>
      </c>
    </row>
    <row r="19" spans="1:9">
      <c r="A19" s="7">
        <v>39</v>
      </c>
      <c r="B19" s="7">
        <v>59</v>
      </c>
      <c r="C19" s="7">
        <v>870</v>
      </c>
      <c r="D19" s="7">
        <f t="shared" si="0"/>
        <v>1521</v>
      </c>
      <c r="E19" s="7">
        <f t="shared" si="1"/>
        <v>3481</v>
      </c>
      <c r="F19" s="7">
        <f t="shared" si="2"/>
        <v>2301</v>
      </c>
      <c r="G19" s="7">
        <f t="shared" si="3"/>
        <v>33930</v>
      </c>
      <c r="H19" s="29">
        <f t="shared" si="4"/>
        <v>51330</v>
      </c>
      <c r="I19" s="6">
        <f t="shared" si="5"/>
        <v>870.33929035398955</v>
      </c>
    </row>
    <row r="20" spans="1:9">
      <c r="A20" s="7"/>
      <c r="B20" s="7"/>
      <c r="C20" s="7"/>
      <c r="D20" s="7"/>
      <c r="E20" s="7"/>
      <c r="F20" s="7"/>
      <c r="G20" s="7"/>
      <c r="H20" s="29"/>
      <c r="I20" s="7"/>
    </row>
    <row r="21" spans="1:9">
      <c r="A21" s="24">
        <f xml:space="preserve"> SUM(A2:A19)</f>
        <v>636</v>
      </c>
      <c r="B21" s="24">
        <f t="shared" ref="B21:H21" si="6" xml:space="preserve"> SUM(B2:B19)</f>
        <v>951</v>
      </c>
      <c r="C21" s="24">
        <f t="shared" si="6"/>
        <v>13720</v>
      </c>
      <c r="D21" s="24">
        <f t="shared" si="6"/>
        <v>23548</v>
      </c>
      <c r="E21" s="24">
        <f t="shared" si="6"/>
        <v>51455</v>
      </c>
      <c r="F21" s="24">
        <f t="shared" si="6"/>
        <v>34704</v>
      </c>
      <c r="G21" s="24">
        <f t="shared" si="6"/>
        <v>505430</v>
      </c>
      <c r="H21" s="34">
        <f t="shared" si="6"/>
        <v>747310</v>
      </c>
      <c r="I21" s="7" t="s">
        <v>67</v>
      </c>
    </row>
    <row r="22" spans="1:9">
      <c r="A22" s="25">
        <f xml:space="preserve"> AVERAGE(A2:A19)</f>
        <v>35.333333333333336</v>
      </c>
      <c r="B22" s="25">
        <f t="shared" ref="B22:H22" si="7" xml:space="preserve"> AVERAGE(B2:B19)</f>
        <v>52.833333333333336</v>
      </c>
      <c r="C22" s="25">
        <f t="shared" si="7"/>
        <v>762.22222222222217</v>
      </c>
      <c r="D22" s="25">
        <f t="shared" si="7"/>
        <v>1308.2222222222222</v>
      </c>
      <c r="E22" s="25">
        <f t="shared" si="7"/>
        <v>2858.6111111111113</v>
      </c>
      <c r="F22" s="25">
        <f t="shared" si="7"/>
        <v>1928</v>
      </c>
      <c r="G22" s="25">
        <f t="shared" si="7"/>
        <v>28079.444444444445</v>
      </c>
      <c r="H22" s="35">
        <f t="shared" si="7"/>
        <v>41517.222222222219</v>
      </c>
      <c r="I22" s="7" t="s">
        <v>68</v>
      </c>
    </row>
    <row r="25" spans="1:9">
      <c r="A25" s="18" t="s">
        <v>82</v>
      </c>
      <c r="D25" s="17" t="s">
        <v>89</v>
      </c>
      <c r="G25" s="18" t="s">
        <v>93</v>
      </c>
    </row>
    <row r="26" spans="1:9">
      <c r="A26" s="21"/>
      <c r="G26" s="21"/>
    </row>
    <row r="27" spans="1:9">
      <c r="A27" t="s">
        <v>83</v>
      </c>
      <c r="D27">
        <v>0.98</v>
      </c>
      <c r="G27" s="22" t="s">
        <v>94</v>
      </c>
    </row>
    <row r="28" spans="1:9">
      <c r="G28" s="22" t="s">
        <v>95</v>
      </c>
    </row>
    <row r="29" spans="1:9">
      <c r="A29" s="18" t="s">
        <v>84</v>
      </c>
      <c r="D29" s="18" t="s">
        <v>90</v>
      </c>
    </row>
    <row r="30" spans="1:9">
      <c r="A30" s="21"/>
      <c r="D30" s="21"/>
      <c r="G30" s="18" t="s">
        <v>99</v>
      </c>
    </row>
    <row r="31" spans="1:9">
      <c r="A31" s="21" t="s">
        <v>85</v>
      </c>
      <c r="D31" s="22" t="s">
        <v>85</v>
      </c>
      <c r="G31" t="s">
        <v>96</v>
      </c>
    </row>
    <row r="32" spans="1:9">
      <c r="D32" s="22" t="s">
        <v>91</v>
      </c>
      <c r="G32" t="s">
        <v>97</v>
      </c>
    </row>
    <row r="33" spans="1:7">
      <c r="A33" s="18" t="s">
        <v>86</v>
      </c>
      <c r="D33" s="21" t="s">
        <v>92</v>
      </c>
      <c r="G33" s="3" t="s">
        <v>98</v>
      </c>
    </row>
    <row r="34" spans="1:7">
      <c r="A34" s="21"/>
    </row>
    <row r="35" spans="1:7">
      <c r="A35" s="21" t="s">
        <v>87</v>
      </c>
      <c r="D35" s="21"/>
      <c r="G35" s="21"/>
    </row>
    <row r="36" spans="1:7">
      <c r="A36" s="21" t="s">
        <v>88</v>
      </c>
      <c r="G36" s="21"/>
    </row>
  </sheetData>
  <mergeCells count="1">
    <mergeCell ref="K14:M14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03E07-DDB8-4A3C-B225-41B9ABFF2FAB}">
  <dimension ref="A1:G13"/>
  <sheetViews>
    <sheetView workbookViewId="0">
      <selection activeCell="C35" sqref="C35"/>
    </sheetView>
  </sheetViews>
  <sheetFormatPr baseColWidth="10" defaultRowHeight="14.4"/>
  <cols>
    <col min="1" max="1" width="29.44140625" customWidth="1"/>
    <col min="2" max="2" width="23.33203125" bestFit="1" customWidth="1"/>
    <col min="3" max="3" width="30.21875" customWidth="1"/>
    <col min="5" max="5" width="27.44140625" customWidth="1"/>
    <col min="6" max="6" width="27.21875" customWidth="1"/>
    <col min="7" max="7" width="91.6640625" customWidth="1"/>
  </cols>
  <sheetData>
    <row r="1" spans="1:7">
      <c r="A1" s="42" t="s">
        <v>116</v>
      </c>
      <c r="B1" s="4" t="s">
        <v>123</v>
      </c>
      <c r="C1" s="2"/>
      <c r="D1" s="2"/>
    </row>
    <row r="2" spans="1:7">
      <c r="A2" s="43" t="s">
        <v>80</v>
      </c>
      <c r="B2" s="4">
        <v>0.98199999999999998</v>
      </c>
      <c r="C2" s="2"/>
      <c r="D2" s="2"/>
      <c r="E2" s="4" t="s">
        <v>124</v>
      </c>
      <c r="F2" s="4" t="s">
        <v>125</v>
      </c>
      <c r="G2" s="4" t="s">
        <v>126</v>
      </c>
    </row>
    <row r="3" spans="1:7" ht="15.6">
      <c r="A3" s="43" t="s">
        <v>100</v>
      </c>
      <c r="B3" s="4">
        <v>30</v>
      </c>
      <c r="C3" s="2"/>
      <c r="D3" s="2"/>
      <c r="E3" s="44" t="s">
        <v>51</v>
      </c>
      <c r="F3" s="9" t="s">
        <v>117</v>
      </c>
      <c r="G3" s="9" t="s">
        <v>118</v>
      </c>
    </row>
    <row r="4" spans="1:7" ht="15.6">
      <c r="A4" s="43" t="s">
        <v>101</v>
      </c>
      <c r="B4" s="4">
        <v>2</v>
      </c>
      <c r="E4" s="44" t="s">
        <v>52</v>
      </c>
      <c r="F4" s="9" t="s">
        <v>119</v>
      </c>
      <c r="G4" s="9" t="s">
        <v>120</v>
      </c>
    </row>
    <row r="5" spans="1:7" ht="15.6">
      <c r="B5" s="1"/>
      <c r="C5" s="1"/>
      <c r="D5" s="1"/>
      <c r="E5" s="44" t="s">
        <v>53</v>
      </c>
      <c r="F5" s="9" t="s">
        <v>119</v>
      </c>
      <c r="G5" s="9" t="s">
        <v>121</v>
      </c>
    </row>
    <row r="6" spans="1:7" ht="15.6">
      <c r="B6" s="2"/>
      <c r="C6" s="39"/>
      <c r="D6" s="2"/>
      <c r="E6" s="44" t="s">
        <v>54</v>
      </c>
      <c r="F6" s="9" t="s">
        <v>119</v>
      </c>
      <c r="G6" s="9" t="s">
        <v>122</v>
      </c>
    </row>
    <row r="7" spans="1:7">
      <c r="A7" s="40" t="s">
        <v>110</v>
      </c>
      <c r="B7" s="2"/>
      <c r="C7" s="2"/>
      <c r="D7" s="2"/>
    </row>
    <row r="8" spans="1:7">
      <c r="A8" s="4" t="s">
        <v>102</v>
      </c>
      <c r="B8" s="4" t="s">
        <v>103</v>
      </c>
      <c r="C8" s="4" t="s">
        <v>104</v>
      </c>
      <c r="D8" s="2"/>
    </row>
    <row r="9" spans="1:7">
      <c r="A9" s="9" t="s">
        <v>111</v>
      </c>
      <c r="B9" s="7" t="s">
        <v>105</v>
      </c>
      <c r="C9" s="13">
        <f>SQRT(B2)</f>
        <v>0.99095913134699964</v>
      </c>
    </row>
    <row r="10" spans="1:7">
      <c r="A10" s="9" t="s">
        <v>112</v>
      </c>
      <c r="B10" s="7" t="s">
        <v>106</v>
      </c>
      <c r="C10" s="13">
        <f>1-(1-B2)*(B3-1)/(B3-B4-1)</f>
        <v>0.98066666666666669</v>
      </c>
    </row>
    <row r="11" spans="1:7">
      <c r="A11" s="9" t="s">
        <v>113</v>
      </c>
      <c r="B11" s="7" t="s">
        <v>107</v>
      </c>
      <c r="C11" s="13">
        <f>(B2/B4)/((1-B2)/(B3-B4-1))</f>
        <v>736.49999999999932</v>
      </c>
    </row>
    <row r="12" spans="1:7">
      <c r="A12" s="9" t="s">
        <v>114</v>
      </c>
      <c r="B12" s="7" t="s">
        <v>108</v>
      </c>
      <c r="C12" s="9">
        <f>B2*100</f>
        <v>98.2</v>
      </c>
    </row>
    <row r="13" spans="1:7">
      <c r="A13" s="9" t="s">
        <v>115</v>
      </c>
      <c r="B13" s="7" t="s">
        <v>109</v>
      </c>
      <c r="C13" s="9">
        <f>(1-B2)*100</f>
        <v>1.8000000000000016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F073A-9EAE-440D-AE0F-5C9DCC86F0C7}">
  <dimension ref="A1:K41"/>
  <sheetViews>
    <sheetView tabSelected="1" topLeftCell="A22" workbookViewId="0">
      <selection activeCell="A35" sqref="A35:A41"/>
    </sheetView>
  </sheetViews>
  <sheetFormatPr baseColWidth="10" defaultRowHeight="14.4"/>
  <cols>
    <col min="1" max="1" width="16.88671875" bestFit="1" customWidth="1"/>
    <col min="2" max="2" width="11.6640625" customWidth="1"/>
    <col min="3" max="3" width="14.33203125" bestFit="1" customWidth="1"/>
    <col min="4" max="4" width="20.77734375" bestFit="1" customWidth="1"/>
  </cols>
  <sheetData>
    <row r="1" spans="1:11">
      <c r="A1" s="7" t="s">
        <v>127</v>
      </c>
      <c r="B1" s="7" t="s">
        <v>128</v>
      </c>
      <c r="C1" s="7" t="s">
        <v>129</v>
      </c>
      <c r="D1" s="10" t="s">
        <v>130</v>
      </c>
      <c r="E1" s="47" t="s">
        <v>80</v>
      </c>
      <c r="F1" s="46"/>
      <c r="G1" s="7" t="s">
        <v>131</v>
      </c>
      <c r="H1" s="7" t="s">
        <v>132</v>
      </c>
      <c r="J1" s="19" t="s">
        <v>133</v>
      </c>
      <c r="K1" s="41">
        <v>114.71</v>
      </c>
    </row>
    <row r="2" spans="1:11">
      <c r="A2" s="7">
        <v>90</v>
      </c>
      <c r="B2" s="7">
        <v>3.5539999999999998</v>
      </c>
      <c r="C2" s="7">
        <v>1.29</v>
      </c>
      <c r="D2" s="7">
        <f>-26.0134 + 11.3*A2 + 0.24*B2 - 4.71*C2</f>
        <v>985.76366000000007</v>
      </c>
      <c r="E2" s="7">
        <f>1-0.002</f>
        <v>0.998</v>
      </c>
      <c r="G2" s="38" t="s">
        <v>6</v>
      </c>
      <c r="H2" s="36">
        <f>11.3*(K1/K4)</f>
        <v>0.53123893442622949</v>
      </c>
      <c r="I2" s="45"/>
      <c r="J2" s="19" t="s">
        <v>134</v>
      </c>
      <c r="K2" s="41">
        <v>4806.32</v>
      </c>
    </row>
    <row r="3" spans="1:11">
      <c r="A3" s="7"/>
      <c r="B3" s="7"/>
      <c r="C3" s="7"/>
      <c r="D3" s="7"/>
      <c r="E3" s="7"/>
      <c r="G3" s="38" t="s">
        <v>7</v>
      </c>
      <c r="H3" s="36">
        <f>0.24*(K2/K4)</f>
        <v>0.47275278688524586</v>
      </c>
      <c r="I3" s="45"/>
      <c r="J3" s="19" t="s">
        <v>135</v>
      </c>
      <c r="K3" s="41">
        <v>1.46</v>
      </c>
    </row>
    <row r="4" spans="1:11">
      <c r="A4" s="7"/>
      <c r="B4" s="7"/>
      <c r="C4" s="7"/>
      <c r="D4" s="7"/>
      <c r="E4" s="7"/>
      <c r="G4" s="38" t="s">
        <v>8</v>
      </c>
      <c r="H4" s="36">
        <f>-4.71*(K3/K4)</f>
        <v>-2.8182786885245902E-3</v>
      </c>
      <c r="I4" s="45"/>
      <c r="J4" s="19" t="s">
        <v>136</v>
      </c>
      <c r="K4" s="41">
        <v>2440</v>
      </c>
    </row>
    <row r="5" spans="1:11">
      <c r="A5" s="7"/>
      <c r="B5" s="7"/>
      <c r="C5" s="7"/>
      <c r="D5" s="7"/>
      <c r="E5" s="7"/>
      <c r="I5" s="45"/>
    </row>
    <row r="10" spans="1:11">
      <c r="A10" s="18" t="s">
        <v>137</v>
      </c>
    </row>
    <row r="11" spans="1:11">
      <c r="A11" s="49"/>
    </row>
    <row r="12" spans="1:11">
      <c r="A12" s="49" t="s">
        <v>139</v>
      </c>
    </row>
    <row r="13" spans="1:11">
      <c r="A13" s="49" t="s">
        <v>138</v>
      </c>
    </row>
    <row r="14" spans="1:11">
      <c r="A14" s="45" t="s">
        <v>140</v>
      </c>
    </row>
    <row r="15" spans="1:11">
      <c r="A15" s="49"/>
    </row>
    <row r="16" spans="1:11">
      <c r="A16" s="18" t="s">
        <v>141</v>
      </c>
    </row>
    <row r="17" spans="1:6">
      <c r="A17" s="49"/>
    </row>
    <row r="18" spans="1:6">
      <c r="A18" s="49" t="s">
        <v>142</v>
      </c>
    </row>
    <row r="19" spans="1:6">
      <c r="A19" s="45" t="s">
        <v>143</v>
      </c>
    </row>
    <row r="21" spans="1:6">
      <c r="A21" s="18" t="s">
        <v>144</v>
      </c>
      <c r="D21" s="18" t="s">
        <v>148</v>
      </c>
      <c r="F21" s="45" t="s">
        <v>154</v>
      </c>
    </row>
    <row r="22" spans="1:6">
      <c r="A22" s="49"/>
      <c r="D22" s="49" t="s">
        <v>149</v>
      </c>
    </row>
    <row r="23" spans="1:6">
      <c r="A23" s="49" t="s">
        <v>145</v>
      </c>
      <c r="D23" s="45" t="s">
        <v>150</v>
      </c>
    </row>
    <row r="24" spans="1:6">
      <c r="A24" s="45" t="s">
        <v>146</v>
      </c>
      <c r="D24" s="18" t="s">
        <v>151</v>
      </c>
    </row>
    <row r="25" spans="1:6">
      <c r="A25" s="45" t="s">
        <v>147</v>
      </c>
      <c r="D25" s="49" t="s">
        <v>152</v>
      </c>
    </row>
    <row r="26" spans="1:6">
      <c r="D26" s="45" t="s">
        <v>153</v>
      </c>
    </row>
    <row r="28" spans="1:6" ht="34.799999999999997">
      <c r="A28" s="48" t="s">
        <v>155</v>
      </c>
    </row>
    <row r="29" spans="1:6">
      <c r="A29" s="16"/>
    </row>
    <row r="30" spans="1:6">
      <c r="A30" s="45" t="s">
        <v>156</v>
      </c>
    </row>
    <row r="31" spans="1:6">
      <c r="A31" s="16"/>
    </row>
    <row r="32" spans="1:6">
      <c r="A32" s="45" t="s">
        <v>157</v>
      </c>
    </row>
    <row r="35" spans="1:1" ht="34.799999999999997">
      <c r="A35" s="48" t="s">
        <v>158</v>
      </c>
    </row>
    <row r="36" spans="1:1">
      <c r="A36" s="16"/>
    </row>
    <row r="37" spans="1:1">
      <c r="A37" s="45" t="s">
        <v>159</v>
      </c>
    </row>
    <row r="38" spans="1:1">
      <c r="A38" s="16"/>
    </row>
    <row r="39" spans="1:1">
      <c r="A39" s="45" t="s">
        <v>160</v>
      </c>
    </row>
    <row r="40" spans="1:1">
      <c r="A40" s="16"/>
    </row>
    <row r="41" spans="1:1">
      <c r="A41" s="45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S-Eje 1</vt:lpstr>
      <vt:lpstr>S-Eje 2</vt:lpstr>
      <vt:lpstr>S-Eje 3</vt:lpstr>
      <vt:lpstr>S-Eje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Espinoza Quevedo, Wilson Yovani</dc:creator>
  <cp:lastModifiedBy>Espinoza Quevedo, Wilson Yovani</cp:lastModifiedBy>
  <dcterms:created xsi:type="dcterms:W3CDTF">2026-06-11T20:38:32Z</dcterms:created>
  <dcterms:modified xsi:type="dcterms:W3CDTF">2026-06-11T23:28:18Z</dcterms:modified>
</cp:coreProperties>
</file>